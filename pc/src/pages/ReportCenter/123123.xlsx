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25480"/>
  </bookViews>
  <sheets>
    <sheet name="Table 1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<sst xmlns="http://schemas.openxmlformats.org/spreadsheetml/2006/main" count="145" uniqueCount="91">
  <si>
    <t>各市（区）2026年1-3月份项目招引建设情况通报表</t>
  </si>
  <si>
    <t/>
  </si>
  <si>
    <t>单位：个、亿元</t>
  </si>
  <si>
    <t>市（区）</t>
  </si>
  <si>
    <t>排名</t>
  </si>
  <si>
    <t>①
固定资产投资情况</t>
  </si>
  <si>
    <t>省重大项目情况</t>
  </si>
  <si>
    <t>市重点项目情况</t>
  </si>
  <si>
    <t>签约项目情况</t>
  </si>
  <si>
    <t>①
备案项目情况</t>
  </si>
  <si>
    <t>①
开工项目情况</t>
  </si>
  <si>
    <t>①
开工项目投资情况</t>
  </si>
  <si>
    <t>①
竣工项目情况</t>
  </si>
  <si>
    <t>①
“四上”企业新增数情况</t>
  </si>
  <si>
    <t>第一名</t>
  </si>
  <si>
    <t>第二名</t>
  </si>
  <si>
    <t>第三名</t>
  </si>
  <si>
    <t>第四名</t>
  </si>
  <si>
    <t>第五名</t>
  </si>
  <si>
    <t>第六名</t>
  </si>
  <si>
    <t>得分</t>
  </si>
  <si>
    <t>综合
排名</t>
  </si>
  <si>
    <t>☆累计完成数</t>
  </si>
  <si>
    <t>一季度</t>
  </si>
  <si>
    <t>全年</t>
  </si>
  <si>
    <t>①项目数量</t>
  </si>
  <si>
    <t>计划
总投资</t>
  </si>
  <si>
    <t>年度投资</t>
  </si>
  <si>
    <t>年度投资完成情况</t>
  </si>
  <si>
    <t>项目开工情况</t>
  </si>
  <si>
    <t>已开工
未列统
项目数</t>
  </si>
  <si>
    <r>
      <rPr>
        <sz val="7"/>
        <color rgb="FF000000"/>
        <rFont val="方正仿宋_GBK"/>
        <charset val="204"/>
      </rPr>
      <t>☆</t>
    </r>
    <r>
      <rPr>
        <sz val="7"/>
        <color rgb="FF000000"/>
        <rFont val="方正黑体_GBK"/>
        <charset val="204"/>
      </rPr>
      <t>项目数量</t>
    </r>
  </si>
  <si>
    <t>500万元-1亿元（1000万美元）
项目</t>
  </si>
  <si>
    <t>1亿元（1000万美元）以上项目</t>
  </si>
  <si>
    <t>其中：增资扩产
项目</t>
  </si>
  <si>
    <t>其中：外资利润
再投资项目</t>
  </si>
  <si>
    <t>1亿元（1000万
美元）以上项目</t>
  </si>
  <si>
    <t>500万元-1亿元（1000万美元）项目</t>
  </si>
  <si>
    <r>
      <rPr>
        <sz val="7"/>
        <rFont val="方正仿宋_GBK"/>
        <charset val="134"/>
      </rPr>
      <t>☆</t>
    </r>
    <r>
      <rPr>
        <sz val="7"/>
        <rFont val="方正黑体_GBK"/>
        <charset val="134"/>
      </rPr>
      <t>总数</t>
    </r>
  </si>
  <si>
    <t>工业</t>
  </si>
  <si>
    <t>建筑业</t>
  </si>
  <si>
    <t>批零业</t>
  </si>
  <si>
    <t>住餐业</t>
  </si>
  <si>
    <t>房地产业</t>
  </si>
  <si>
    <t>服务业</t>
  </si>
  <si>
    <t>预测数</t>
  </si>
  <si>
    <r>
      <rPr>
        <sz val="7"/>
        <rFont val="方正黑体_GBK"/>
        <charset val="134"/>
      </rPr>
      <t xml:space="preserve">②
</t>
    </r>
    <r>
      <rPr>
        <sz val="7"/>
        <rFont val="方正仿宋_GBK"/>
        <charset val="134"/>
      </rPr>
      <t>☆</t>
    </r>
    <r>
      <rPr>
        <sz val="7"/>
        <rFont val="方正黑体_GBK"/>
        <charset val="134"/>
      </rPr>
      <t>完成进度</t>
    </r>
  </si>
  <si>
    <r>
      <rPr>
        <sz val="7"/>
        <rFont val="方正仿宋_GBK"/>
        <charset val="134"/>
      </rPr>
      <t xml:space="preserve">③
</t>
    </r>
    <r>
      <rPr>
        <sz val="7"/>
        <rFont val="方正黑体_GBK"/>
        <charset val="134"/>
      </rPr>
      <t>完成进度</t>
    </r>
  </si>
  <si>
    <t>已列统
项目数</t>
  </si>
  <si>
    <t>②
实际入库投资</t>
  </si>
  <si>
    <r>
      <rPr>
        <sz val="7"/>
        <color rgb="FF000000"/>
        <rFont val="方正仿宋_GBK"/>
        <charset val="204"/>
      </rPr>
      <t>③
☆</t>
    </r>
    <r>
      <rPr>
        <sz val="7"/>
        <color rgb="FF000000"/>
        <rFont val="方正黑体_GBK"/>
        <charset val="204"/>
      </rPr>
      <t>投资</t>
    </r>
    <r>
      <rPr>
        <sz val="7"/>
        <color rgb="FF000000"/>
        <rFont val="方正仿宋_GBK"/>
        <charset val="204"/>
      </rPr>
      <t xml:space="preserve">
</t>
    </r>
    <r>
      <rPr>
        <sz val="7"/>
        <color rgb="FF000000"/>
        <rFont val="方正黑体_GBK"/>
        <charset val="204"/>
      </rPr>
      <t>完成率</t>
    </r>
  </si>
  <si>
    <t>④
新开工
项目数</t>
  </si>
  <si>
    <t>⑤
已开工
项目数</t>
  </si>
  <si>
    <t>开工率</t>
  </si>
  <si>
    <t>①
实际入库投资</t>
  </si>
  <si>
    <r>
      <rPr>
        <sz val="7"/>
        <color rgb="FF000000"/>
        <rFont val="方正仿宋_GBK"/>
        <charset val="204"/>
      </rPr>
      <t>②
☆</t>
    </r>
    <r>
      <rPr>
        <sz val="7"/>
        <color rgb="FF000000"/>
        <rFont val="方正黑体_GBK"/>
        <charset val="204"/>
      </rPr>
      <t>投资</t>
    </r>
    <r>
      <rPr>
        <sz val="7"/>
        <color rgb="FF000000"/>
        <rFont val="方正仿宋_GBK"/>
        <charset val="204"/>
      </rPr>
      <t xml:space="preserve">
</t>
    </r>
    <r>
      <rPr>
        <sz val="7"/>
        <color rgb="FF000000"/>
        <rFont val="方正黑体_GBK"/>
        <charset val="204"/>
      </rPr>
      <t>完成率</t>
    </r>
  </si>
  <si>
    <t>③
新开工
项目数</t>
  </si>
  <si>
    <t>④
已开工
项目数</t>
  </si>
  <si>
    <r>
      <rPr>
        <sz val="7"/>
        <color rgb="FF000000"/>
        <rFont val="方正仿宋_GBK"/>
        <charset val="204"/>
      </rPr>
      <t>☆</t>
    </r>
    <r>
      <rPr>
        <sz val="7"/>
        <color rgb="FF000000"/>
        <rFont val="方正黑体_GBK"/>
        <charset val="204"/>
      </rPr>
      <t>开工率</t>
    </r>
  </si>
  <si>
    <t>总数</t>
  </si>
  <si>
    <t>当月
新增</t>
  </si>
  <si>
    <t>其中：5亿元（3000万美元）
以上项目</t>
  </si>
  <si>
    <t>其中：年度投资
1亿元以上项目</t>
  </si>
  <si>
    <t>其中：5亿元（3000万美元）以上项目</t>
  </si>
  <si>
    <t>计划总投资</t>
  </si>
  <si>
    <t>年度计划投资</t>
  </si>
  <si>
    <t>☆已完成投资</t>
  </si>
  <si>
    <t>年度
计划
完成率</t>
  </si>
  <si>
    <r>
      <rPr>
        <sz val="7"/>
        <rFont val="方正仿宋_GBK"/>
        <charset val="134"/>
      </rPr>
      <t>☆</t>
    </r>
    <r>
      <rPr>
        <sz val="7"/>
        <rFont val="方正黑体_GBK"/>
        <charset val="134"/>
      </rPr>
      <t>年度
计划
完成率</t>
    </r>
  </si>
  <si>
    <t>已完成投资</t>
  </si>
  <si>
    <t>全市合计</t>
  </si>
  <si>
    <t>—</t>
  </si>
  <si>
    <t>靖江市</t>
  </si>
  <si>
    <t>泰兴市</t>
  </si>
  <si>
    <t>兴化市</t>
  </si>
  <si>
    <t>海陵区</t>
  </si>
  <si>
    <t>姜堰区</t>
  </si>
  <si>
    <t>0</t>
  </si>
  <si>
    <t>医药高新区
（高港区）</t>
  </si>
  <si>
    <t>备注：排名涉及指标共计15项，均用☆标注。</t>
  </si>
  <si>
    <t>备注：表格中省重大项目为29个产业项目，若增加1个基础设施项目(高铁南站),一季度全市30个省重大项目列统投资49.99亿元，完成年度计划的32.3%。</t>
  </si>
  <si>
    <t>备注：
①投资完成率指实际入库投资占年度投资的比重；
②新开工项目数指2026年计划新开工项目数；
③已开工项目数指2026年计划新开工项目中已开工建设项目数。</t>
  </si>
  <si>
    <t>备注：
①固定资产投资情况为1-2月列统投资数据；
②年度完成进度为1-2月固投完成数与一季度预测数的占比；
③全年完成进度为1-2月固投完成数与全年预测数的占比；
④数据由市统计局提供。</t>
  </si>
  <si>
    <t>备注：
①29个省重大产业项目中不包括1个市直项目（高铁南站项目）；
②实际入库投资是指1-2月实际入库投资情况；
③投资完成率是指实际入库投资与年度投资的占比；
④新开工项目数是指2026年计划新开工项目；
⑤已开工项目数是指2026年计划新开工项目已开工建设；
⑥开工率是指已开工项目数与新开工项目数的占比；
⑦数据由市发改委、市统计局提供。</t>
  </si>
  <si>
    <t>备注：
①实际入库投资是指1-2月实际入库投资情况；
②新开工项目数是指2026年计划新开工项目；
③已开工项目数是指2026年计划新开工项目已开工建设；
④投资完成率是指实际入库投资与年度投资的占比；
⑤开工率是指已开工项目数与新开工项目数的占比；
⑥数据由市发改委、市统计局提供。</t>
  </si>
  <si>
    <t>备注：
①数据日期为2026年1月1日-3月20日；
②数据由市商务局提供。</t>
  </si>
  <si>
    <t>备注：
①备案项目数是指2026年1月1日-3月20日期间新备案产业项目数；
②数据由各市（区）自报。</t>
  </si>
  <si>
    <t>备注：
①开工项目数是指2026年1月1日-3月20日期间新开工产业项目数；
②数据由各市（区）自报。</t>
  </si>
  <si>
    <t>备注：
①开工项目投资是指2026年1月1日-3月20日期间新开工项目投资发生数；
②投资数据时间为1-2月；
③计划总投资、年度计划投资数据由各市（区）自报；
④已完成投资数据由市统计局提供。</t>
  </si>
  <si>
    <t>备注：
①竣工项目数是指2026年1月1日-3月20日期间新竣工产业项目数；
②数据由各市（区）自报。</t>
  </si>
  <si>
    <t>备注：
①“四上”企业新增数是指2026年1-2月名录库数据；
②数据由市统计局提供。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</si>
</sst>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  <numFmt numFmtId="179" formatCode="0_ "/>
  </numFmts>
  <fonts count="41">
    <font>
      <sz val="10"/>
      <color rgb="FF000000"/>
      <name val="Times New Roman"/>
      <charset val="204"/>
    </font>
    <font>
      <sz val="10"/>
      <color rgb="FF000000"/>
      <name val="方正仿宋_GBK"/>
      <charset val="204"/>
    </font>
    <font>
      <sz val="10"/>
      <color rgb="FF000000"/>
      <name val="方正楷体_GBK"/>
      <charset val="204"/>
    </font>
    <font>
      <sz val="6"/>
      <color rgb="FF000000"/>
      <name val="方正黑体_GBK"/>
      <charset val="204"/>
    </font>
    <font>
      <sz val="7"/>
      <color rgb="FF000000"/>
      <name val="方正黑体_GBK"/>
      <charset val="204"/>
    </font>
    <font>
      <sz val="7"/>
      <name val="方正黑体_GBK"/>
      <charset val="204"/>
    </font>
    <font>
      <sz val="7"/>
      <color rgb="FF000000"/>
      <name val="方正楷体_GBK"/>
      <charset val="204"/>
    </font>
    <font>
      <sz val="18"/>
      <name val="方正小标宋_GBK"/>
      <charset val="134"/>
    </font>
    <font>
      <sz val="11"/>
      <name val="方正楷体_GBK"/>
      <charset val="134"/>
    </font>
    <font>
      <sz val="7"/>
      <name val="方正黑体_GBK"/>
      <charset val="134"/>
    </font>
    <font>
      <sz val="7"/>
      <name val="Times New Roman"/>
      <charset val="134"/>
    </font>
    <font>
      <sz val="7"/>
      <color rgb="FF000000"/>
      <name val="Times New Roman"/>
      <charset val="204"/>
    </font>
    <font>
      <sz val="8"/>
      <color rgb="FF000000"/>
      <name val="Times New Roman"/>
      <charset val="204"/>
    </font>
    <font>
      <sz val="7"/>
      <name val="方正仿宋_GBK"/>
      <charset val="204"/>
    </font>
    <font>
      <sz val="7"/>
      <color theme="1"/>
      <name val="Times New Roman"/>
      <charset val="204"/>
    </font>
    <font>
      <sz val="7"/>
      <color theme="1"/>
      <name val="Times New Roman"/>
      <charset val="134"/>
    </font>
    <font>
      <sz val="7"/>
      <name val="方正仿宋_GBK"/>
      <charset val="134"/>
    </font>
    <font>
      <sz val="7"/>
      <color rgb="FF000000"/>
      <name val="方正仿宋_GBK"/>
      <charset val="204"/>
    </font>
    <font>
      <sz val="7"/>
      <name val="Times New Roman"/>
      <charset val="204"/>
    </font>
    <font>
      <sz val="8"/>
      <name val="方正楷体_GBK"/>
      <charset val="134"/>
    </font>
    <font>
      <sz val="8"/>
      <color rgb="FF000000"/>
      <name val="方正楷体_GBK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2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12" applyNumberFormat="0" applyAlignment="0" applyProtection="0">
      <alignment vertical="center"/>
    </xf>
    <xf numFmtId="0" fontId="31" fillId="14" borderId="13" applyNumberFormat="0" applyAlignment="0" applyProtection="0">
      <alignment vertical="center"/>
    </xf>
    <xf numFmtId="0" fontId="32" fillId="14" borderId="12" applyNumberFormat="0" applyAlignment="0" applyProtection="0">
      <alignment vertical="center"/>
    </xf>
    <xf numFmtId="0" fontId="33" fillId="15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124">
    <xf numFmtId="0" fontId="0" fillId="0" borderId="0" xfId="0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center" vertical="center" wrapText="1"/>
    </xf>
    <xf numFmtId="10" fontId="14" fillId="3" borderId="1" xfId="0" applyNumberFormat="1" applyFont="1" applyFill="1" applyBorder="1" applyAlignment="1">
      <alignment horizontal="center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7" fontId="15" fillId="0" borderId="0" xfId="0" applyNumberFormat="1" applyFont="1" applyFill="1" applyAlignment="1">
      <alignment horizontal="center" vertical="center" shrinkToFit="1"/>
    </xf>
    <xf numFmtId="178" fontId="14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top"/>
    </xf>
    <xf numFmtId="0" fontId="4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179" fontId="14" fillId="3" borderId="1" xfId="0" applyNumberFormat="1" applyFont="1" applyFill="1" applyBorder="1" applyAlignment="1">
      <alignment horizontal="center" vertical="center" wrapText="1"/>
    </xf>
    <xf numFmtId="10" fontId="14" fillId="3" borderId="1" xfId="3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7" fontId="11" fillId="4" borderId="1" xfId="0" applyNumberFormat="1" applyFont="1" applyFill="1" applyBorder="1" applyAlignment="1">
      <alignment horizontal="center" vertical="center" wrapText="1"/>
    </xf>
    <xf numFmtId="179" fontId="15" fillId="3" borderId="1" xfId="0" applyNumberFormat="1" applyFont="1" applyFill="1" applyBorder="1" applyAlignment="1">
      <alignment horizontal="center" vertical="center" shrinkToFit="1"/>
    </xf>
    <xf numFmtId="10" fontId="15" fillId="3" borderId="1" xfId="0" applyNumberFormat="1" applyFont="1" applyFill="1" applyBorder="1" applyAlignment="1">
      <alignment horizontal="center" vertical="center" shrinkToFit="1"/>
    </xf>
    <xf numFmtId="179" fontId="15" fillId="0" borderId="0" xfId="0" applyNumberFormat="1" applyFont="1" applyFill="1" applyAlignment="1">
      <alignment horizontal="center" vertical="center" shrinkToFit="1"/>
    </xf>
    <xf numFmtId="10" fontId="15" fillId="0" borderId="0" xfId="0" applyNumberFormat="1" applyFont="1" applyFill="1" applyAlignment="1">
      <alignment horizontal="center" vertical="center" shrinkToFit="1"/>
    </xf>
    <xf numFmtId="0" fontId="11" fillId="0" borderId="0" xfId="0" applyFont="1" applyFill="1" applyAlignment="1">
      <alignment horizontal="center" vertical="center" wrapText="1"/>
    </xf>
    <xf numFmtId="177" fontId="11" fillId="0" borderId="0" xfId="0" applyNumberFormat="1" applyFont="1" applyFill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76" fontId="11" fillId="4" borderId="1" xfId="0" applyNumberFormat="1" applyFont="1" applyFill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center" vertical="center" wrapText="1"/>
    </xf>
    <xf numFmtId="176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9" fontId="11" fillId="4" borderId="1" xfId="0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8" fontId="11" fillId="5" borderId="1" xfId="0" applyNumberFormat="1" applyFont="1" applyFill="1" applyBorder="1" applyAlignment="1">
      <alignment horizontal="center" vertical="center"/>
    </xf>
    <xf numFmtId="178" fontId="11" fillId="0" borderId="0" xfId="0" applyNumberFormat="1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shrinkToFit="1"/>
    </xf>
    <xf numFmtId="0" fontId="15" fillId="6" borderId="1" xfId="0" applyFont="1" applyFill="1" applyBorder="1" applyAlignment="1">
      <alignment horizontal="center" vertical="center" wrapText="1"/>
    </xf>
    <xf numFmtId="179" fontId="15" fillId="6" borderId="1" xfId="0" applyNumberFormat="1" applyFont="1" applyFill="1" applyBorder="1" applyAlignment="1">
      <alignment horizontal="center" vertical="center" wrapText="1"/>
    </xf>
    <xf numFmtId="179" fontId="15" fillId="0" borderId="0" xfId="0" applyNumberFormat="1" applyFont="1" applyFill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shrinkToFit="1"/>
    </xf>
    <xf numFmtId="179" fontId="15" fillId="6" borderId="1" xfId="0" applyNumberFormat="1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shrinkToFit="1"/>
    </xf>
    <xf numFmtId="1" fontId="10" fillId="7" borderId="1" xfId="0" applyNumberFormat="1" applyFont="1" applyFill="1" applyBorder="1" applyAlignment="1">
      <alignment horizontal="center" vertical="center" shrinkToFit="1"/>
    </xf>
    <xf numFmtId="1" fontId="15" fillId="7" borderId="1" xfId="0" applyNumberFormat="1" applyFont="1" applyFill="1" applyBorder="1" applyAlignment="1">
      <alignment horizontal="center" vertical="center" shrinkToFit="1"/>
    </xf>
    <xf numFmtId="0" fontId="10" fillId="7" borderId="1" xfId="0" applyNumberFormat="1" applyFont="1" applyFill="1" applyBorder="1" applyAlignment="1">
      <alignment horizontal="center" vertical="center" shrinkToFit="1"/>
    </xf>
    <xf numFmtId="179" fontId="15" fillId="7" borderId="1" xfId="0" applyNumberFormat="1" applyFont="1" applyFill="1" applyBorder="1" applyAlignment="1">
      <alignment horizontal="center" vertical="center" shrinkToFit="1"/>
    </xf>
    <xf numFmtId="0" fontId="16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shrinkToFit="1"/>
    </xf>
    <xf numFmtId="0" fontId="15" fillId="8" borderId="1" xfId="0" applyNumberFormat="1" applyFont="1" applyFill="1" applyBorder="1" applyAlignment="1">
      <alignment horizontal="center" vertical="center" shrinkToFit="1"/>
    </xf>
    <xf numFmtId="179" fontId="15" fillId="8" borderId="1" xfId="0" applyNumberFormat="1" applyFont="1" applyFill="1" applyBorder="1" applyAlignment="1">
      <alignment horizontal="center" vertical="center" shrinkToFit="1"/>
    </xf>
    <xf numFmtId="0" fontId="9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176" fontId="14" fillId="9" borderId="1" xfId="0" applyNumberFormat="1" applyFont="1" applyFill="1" applyBorder="1" applyAlignment="1">
      <alignment horizontal="center" vertical="center" wrapText="1"/>
    </xf>
    <xf numFmtId="176" fontId="15" fillId="9" borderId="1" xfId="0" applyNumberFormat="1" applyFont="1" applyFill="1" applyBorder="1" applyAlignment="1">
      <alignment horizontal="center" vertical="center" shrinkToFit="1"/>
    </xf>
    <xf numFmtId="176" fontId="15" fillId="0" borderId="0" xfId="0" applyNumberFormat="1" applyFont="1" applyFill="1" applyAlignment="1">
      <alignment horizontal="center" vertical="center" shrinkToFit="1"/>
    </xf>
    <xf numFmtId="0" fontId="9" fillId="9" borderId="5" xfId="0" applyFont="1" applyFill="1" applyBorder="1" applyAlignment="1">
      <alignment horizontal="center" vertical="center" wrapText="1"/>
    </xf>
    <xf numFmtId="10" fontId="14" fillId="9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179" fontId="14" fillId="9" borderId="1" xfId="0" applyNumberFormat="1" applyFont="1" applyFill="1" applyBorder="1" applyAlignment="1">
      <alignment horizontal="center" vertical="center" wrapText="1"/>
    </xf>
    <xf numFmtId="10" fontId="14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righ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shrinkToFit="1"/>
    </xf>
    <xf numFmtId="0" fontId="15" fillId="10" borderId="1" xfId="0" applyNumberFormat="1" applyFont="1" applyFill="1" applyBorder="1" applyAlignment="1">
      <alignment horizontal="center" vertical="center" shrinkToFit="1"/>
    </xf>
    <xf numFmtId="179" fontId="15" fillId="10" borderId="1" xfId="0" applyNumberFormat="1" applyFont="1" applyFill="1" applyBorder="1" applyAlignment="1">
      <alignment horizontal="center" vertical="center" shrinkToFit="1"/>
    </xf>
    <xf numFmtId="0" fontId="19" fillId="0" borderId="0" xfId="0" applyFont="1" applyFill="1" applyBorder="1" applyAlignment="1">
      <alignment horizontal="right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1" fontId="15" fillId="11" borderId="1" xfId="0" applyNumberFormat="1" applyFont="1" applyFill="1" applyBorder="1" applyAlignment="1">
      <alignment horizontal="center" vertical="center" shrinkToFit="1"/>
    </xf>
    <xf numFmtId="0" fontId="14" fillId="11" borderId="1" xfId="0" applyFont="1" applyFill="1" applyBorder="1" applyAlignment="1">
      <alignment horizontal="center" vertical="center"/>
    </xf>
    <xf numFmtId="179" fontId="14" fillId="11" borderId="1" xfId="0" applyNumberFormat="1" applyFont="1" applyFill="1" applyBorder="1" applyAlignment="1">
      <alignment horizontal="center" vertical="center"/>
    </xf>
    <xf numFmtId="179" fontId="14" fillId="0" borderId="0" xfId="0" applyNumberFormat="1" applyFont="1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6"/>
  <sheetViews>
    <sheetView tabSelected="1" zoomScale="112" zoomScaleNormal="112" workbookViewId="0">
      <pane xSplit="1" topLeftCell="B1" activePane="topRight" state="frozen"/>
      <selection/>
      <selection pane="topRight" activeCell="U5" sqref="U5:W5"/>
    </sheetView>
  </sheetViews>
  <sheetFormatPr defaultColWidth="9" defaultRowHeight="15.2"/>
  <cols>
    <col min="1" max="1" width="8.82692307692308" style="9" customWidth="1"/>
    <col min="2" max="9" width="5.70192307692308" style="9" customWidth="1"/>
    <col min="10" max="11" width="6.82692307692308" style="9" customWidth="1"/>
    <col min="12" max="12" width="8.5" style="9" customWidth="1"/>
    <col min="13" max="13" width="6.82692307692308" style="9" customWidth="1"/>
    <col min="14" max="14" width="8.5" style="9" customWidth="1"/>
    <col min="15" max="24" width="6.82692307692308" style="9" customWidth="1"/>
    <col min="25" max="25" width="8.24038461538461" style="9" customWidth="1"/>
    <col min="26" max="34" width="6.82692307692308" style="9" customWidth="1"/>
    <col min="35" max="62" width="6.32692307692308" style="9" customWidth="1"/>
    <col min="63" max="63" width="7.70192307692308" style="9" customWidth="1"/>
    <col min="64" max="67" width="6.32692307692308" style="9" customWidth="1"/>
    <col min="68" max="68" width="7.70192307692308" style="9" customWidth="1"/>
    <col min="69" max="77" width="6.32692307692308" style="9" customWidth="1"/>
    <col min="78" max="78" width="7.57692307692308" style="9" customWidth="1"/>
    <col min="79" max="79" width="6.32692307692308" style="9" customWidth="1"/>
    <col min="80" max="16383" width="9" style="9"/>
  </cols>
  <sheetData>
    <row r="1" ht="40" customHeight="1" spans="1:79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</row>
    <row r="2" s="5" customFormat="1" ht="16" customHeight="1" spans="1:7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</row>
    <row r="3" customFormat="1" ht="15" customHeight="1" spans="1:79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02"/>
      <c r="BU3" s="102"/>
      <c r="BV3" s="110"/>
      <c r="BY3" s="122" t="s">
        <v>2</v>
      </c>
      <c r="BZ3" s="122"/>
      <c r="CA3" s="122"/>
    </row>
    <row r="4" s="6" customFormat="1" ht="28" customHeight="1" spans="1:79">
      <c r="A4" s="14" t="s">
        <v>3</v>
      </c>
      <c r="B4" s="15" t="s">
        <v>4</v>
      </c>
      <c r="C4" s="16"/>
      <c r="D4" s="16"/>
      <c r="E4" s="16"/>
      <c r="F4" s="16"/>
      <c r="G4" s="16"/>
      <c r="H4" s="16"/>
      <c r="I4" s="24"/>
      <c r="J4" s="25" t="s">
        <v>5</v>
      </c>
      <c r="K4" s="25"/>
      <c r="L4" s="25"/>
      <c r="M4" s="25"/>
      <c r="N4" s="25"/>
      <c r="O4" s="34" t="s">
        <v>6</v>
      </c>
      <c r="P4" s="34"/>
      <c r="Q4" s="34"/>
      <c r="R4" s="34"/>
      <c r="S4" s="34"/>
      <c r="T4" s="34"/>
      <c r="U4" s="34"/>
      <c r="V4" s="34"/>
      <c r="W4" s="34"/>
      <c r="X4" s="34"/>
      <c r="Y4" s="52" t="s">
        <v>7</v>
      </c>
      <c r="Z4" s="52"/>
      <c r="AA4" s="52"/>
      <c r="AB4" s="52"/>
      <c r="AC4" s="52"/>
      <c r="AD4" s="52"/>
      <c r="AE4" s="52"/>
      <c r="AF4" s="52"/>
      <c r="AG4" s="52"/>
      <c r="AH4" s="52"/>
      <c r="AI4" s="59" t="s">
        <v>8</v>
      </c>
      <c r="AJ4" s="59"/>
      <c r="AK4" s="59"/>
      <c r="AL4" s="59"/>
      <c r="AM4" s="59"/>
      <c r="AN4" s="59"/>
      <c r="AO4" s="59"/>
      <c r="AP4" s="59"/>
      <c r="AQ4" s="72" t="s">
        <v>9</v>
      </c>
      <c r="AR4" s="72"/>
      <c r="AS4" s="72"/>
      <c r="AT4" s="72"/>
      <c r="AU4" s="72"/>
      <c r="AV4" s="72"/>
      <c r="AW4" s="72"/>
      <c r="AX4" s="72"/>
      <c r="AY4" s="72"/>
      <c r="AZ4" s="72"/>
      <c r="BA4" s="84" t="s">
        <v>10</v>
      </c>
      <c r="BB4" s="84"/>
      <c r="BC4" s="84"/>
      <c r="BD4" s="84"/>
      <c r="BE4" s="84"/>
      <c r="BF4" s="84"/>
      <c r="BG4" s="91" t="s">
        <v>11</v>
      </c>
      <c r="BH4" s="91"/>
      <c r="BI4" s="91"/>
      <c r="BJ4" s="91"/>
      <c r="BK4" s="91"/>
      <c r="BL4" s="91"/>
      <c r="BM4" s="91"/>
      <c r="BN4" s="91"/>
      <c r="BO4" s="91"/>
      <c r="BP4" s="91"/>
      <c r="BQ4" s="103" t="s">
        <v>12</v>
      </c>
      <c r="BR4" s="103"/>
      <c r="BS4" s="103"/>
      <c r="BT4" s="103"/>
      <c r="BU4" s="111" t="s">
        <v>13</v>
      </c>
      <c r="BV4" s="112"/>
      <c r="BW4" s="112"/>
      <c r="BX4" s="112"/>
      <c r="BY4" s="112"/>
      <c r="BZ4" s="112"/>
      <c r="CA4" s="123"/>
    </row>
    <row r="5" s="7" customFormat="1" ht="28" customHeight="1" spans="1:79">
      <c r="A5" s="17"/>
      <c r="B5" s="18" t="s">
        <v>14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21</v>
      </c>
      <c r="J5" s="26" t="s">
        <v>22</v>
      </c>
      <c r="K5" s="27" t="s">
        <v>23</v>
      </c>
      <c r="L5" s="27"/>
      <c r="M5" s="27" t="s">
        <v>24</v>
      </c>
      <c r="N5" s="27"/>
      <c r="O5" s="34" t="s">
        <v>25</v>
      </c>
      <c r="P5" s="34" t="s">
        <v>26</v>
      </c>
      <c r="Q5" s="34" t="s">
        <v>27</v>
      </c>
      <c r="R5" s="34" t="s">
        <v>28</v>
      </c>
      <c r="S5" s="34"/>
      <c r="T5" s="34"/>
      <c r="U5" s="34" t="s">
        <v>29</v>
      </c>
      <c r="V5" s="34"/>
      <c r="W5" s="34"/>
      <c r="X5" s="34" t="s">
        <v>30</v>
      </c>
      <c r="Y5" s="53" t="s">
        <v>31</v>
      </c>
      <c r="Z5" s="52" t="s">
        <v>26</v>
      </c>
      <c r="AA5" s="52" t="s">
        <v>27</v>
      </c>
      <c r="AB5" s="52" t="s">
        <v>28</v>
      </c>
      <c r="AC5" s="52"/>
      <c r="AD5" s="52"/>
      <c r="AE5" s="52" t="s">
        <v>29</v>
      </c>
      <c r="AF5" s="52"/>
      <c r="AG5" s="52"/>
      <c r="AH5" s="52" t="s">
        <v>30</v>
      </c>
      <c r="AI5" s="60" t="s">
        <v>32</v>
      </c>
      <c r="AJ5" s="60"/>
      <c r="AK5" s="60" t="s">
        <v>33</v>
      </c>
      <c r="AL5" s="60"/>
      <c r="AM5" s="60"/>
      <c r="AN5" s="60"/>
      <c r="AO5" s="60"/>
      <c r="AP5" s="60"/>
      <c r="AQ5" s="73" t="s">
        <v>32</v>
      </c>
      <c r="AR5" s="73"/>
      <c r="AS5" s="73" t="s">
        <v>33</v>
      </c>
      <c r="AT5" s="73"/>
      <c r="AU5" s="73"/>
      <c r="AV5" s="73"/>
      <c r="AW5" s="73" t="s">
        <v>34</v>
      </c>
      <c r="AX5" s="73"/>
      <c r="AY5" s="73" t="s">
        <v>35</v>
      </c>
      <c r="AZ5" s="73"/>
      <c r="BA5" s="85" t="s">
        <v>32</v>
      </c>
      <c r="BB5" s="85"/>
      <c r="BC5" s="85" t="s">
        <v>36</v>
      </c>
      <c r="BD5" s="85"/>
      <c r="BE5" s="85"/>
      <c r="BF5" s="85"/>
      <c r="BG5" s="92" t="s">
        <v>37</v>
      </c>
      <c r="BH5" s="92"/>
      <c r="BI5" s="92"/>
      <c r="BJ5" s="92"/>
      <c r="BK5" s="92"/>
      <c r="BL5" s="92" t="s">
        <v>33</v>
      </c>
      <c r="BM5" s="92"/>
      <c r="BN5" s="92"/>
      <c r="BO5" s="92"/>
      <c r="BP5" s="92"/>
      <c r="BQ5" s="104" t="s">
        <v>32</v>
      </c>
      <c r="BR5" s="104"/>
      <c r="BS5" s="104" t="s">
        <v>36</v>
      </c>
      <c r="BT5" s="104"/>
      <c r="BU5" s="113" t="s">
        <v>38</v>
      </c>
      <c r="BV5" s="114" t="s">
        <v>39</v>
      </c>
      <c r="BW5" s="114" t="s">
        <v>40</v>
      </c>
      <c r="BX5" s="114" t="s">
        <v>41</v>
      </c>
      <c r="BY5" s="114" t="s">
        <v>42</v>
      </c>
      <c r="BZ5" s="114" t="s">
        <v>43</v>
      </c>
      <c r="CA5" s="114" t="s">
        <v>44</v>
      </c>
    </row>
    <row r="6" s="8" customFormat="1" ht="28" customHeight="1" spans="1:79">
      <c r="A6" s="17"/>
      <c r="B6" s="18"/>
      <c r="C6" s="18"/>
      <c r="D6" s="18"/>
      <c r="E6" s="18"/>
      <c r="F6" s="18"/>
      <c r="G6" s="18"/>
      <c r="H6" s="18"/>
      <c r="I6" s="18"/>
      <c r="J6" s="27"/>
      <c r="K6" s="25" t="s">
        <v>45</v>
      </c>
      <c r="L6" s="25" t="s">
        <v>46</v>
      </c>
      <c r="M6" s="25" t="s">
        <v>45</v>
      </c>
      <c r="N6" s="35" t="s">
        <v>47</v>
      </c>
      <c r="O6" s="34"/>
      <c r="P6" s="34"/>
      <c r="Q6" s="34"/>
      <c r="R6" s="34" t="s">
        <v>48</v>
      </c>
      <c r="S6" s="34" t="s">
        <v>49</v>
      </c>
      <c r="T6" s="46" t="s">
        <v>50</v>
      </c>
      <c r="U6" s="34" t="s">
        <v>51</v>
      </c>
      <c r="V6" s="34" t="s">
        <v>52</v>
      </c>
      <c r="W6" s="34" t="s">
        <v>53</v>
      </c>
      <c r="X6" s="34"/>
      <c r="Y6" s="52"/>
      <c r="Z6" s="52"/>
      <c r="AA6" s="52"/>
      <c r="AB6" s="52" t="s">
        <v>48</v>
      </c>
      <c r="AC6" s="52" t="s">
        <v>54</v>
      </c>
      <c r="AD6" s="53" t="s">
        <v>55</v>
      </c>
      <c r="AE6" s="52" t="s">
        <v>56</v>
      </c>
      <c r="AF6" s="52" t="s">
        <v>57</v>
      </c>
      <c r="AG6" s="53" t="s">
        <v>58</v>
      </c>
      <c r="AH6" s="52"/>
      <c r="AI6" s="59" t="s">
        <v>59</v>
      </c>
      <c r="AJ6" s="59" t="s">
        <v>60</v>
      </c>
      <c r="AK6" s="66" t="s">
        <v>38</v>
      </c>
      <c r="AL6" s="59" t="s">
        <v>60</v>
      </c>
      <c r="AM6" s="59" t="s">
        <v>61</v>
      </c>
      <c r="AN6" s="59"/>
      <c r="AO6" s="60" t="s">
        <v>62</v>
      </c>
      <c r="AP6" s="60"/>
      <c r="AQ6" s="72" t="s">
        <v>59</v>
      </c>
      <c r="AR6" s="72" t="s">
        <v>60</v>
      </c>
      <c r="AS6" s="80" t="s">
        <v>38</v>
      </c>
      <c r="AT6" s="72" t="s">
        <v>60</v>
      </c>
      <c r="AU6" s="72" t="s">
        <v>63</v>
      </c>
      <c r="AV6" s="72"/>
      <c r="AW6" s="80" t="s">
        <v>38</v>
      </c>
      <c r="AX6" s="72" t="s">
        <v>60</v>
      </c>
      <c r="AY6" s="72" t="s">
        <v>59</v>
      </c>
      <c r="AZ6" s="72" t="s">
        <v>60</v>
      </c>
      <c r="BA6" s="84" t="s">
        <v>59</v>
      </c>
      <c r="BB6" s="84" t="s">
        <v>60</v>
      </c>
      <c r="BC6" s="86" t="s">
        <v>38</v>
      </c>
      <c r="BD6" s="84" t="s">
        <v>60</v>
      </c>
      <c r="BE6" s="84" t="s">
        <v>61</v>
      </c>
      <c r="BF6" s="84"/>
      <c r="BG6" s="92" t="s">
        <v>64</v>
      </c>
      <c r="BH6" s="92" t="s">
        <v>65</v>
      </c>
      <c r="BI6" s="97" t="s">
        <v>66</v>
      </c>
      <c r="BJ6" s="91"/>
      <c r="BK6" s="91" t="s">
        <v>67</v>
      </c>
      <c r="BL6" s="92" t="s">
        <v>64</v>
      </c>
      <c r="BM6" s="92" t="s">
        <v>65</v>
      </c>
      <c r="BN6" s="97" t="s">
        <v>66</v>
      </c>
      <c r="BO6" s="91"/>
      <c r="BP6" s="99" t="s">
        <v>68</v>
      </c>
      <c r="BQ6" s="103" t="s">
        <v>59</v>
      </c>
      <c r="BR6" s="103" t="s">
        <v>60</v>
      </c>
      <c r="BS6" s="105" t="s">
        <v>38</v>
      </c>
      <c r="BT6" s="103" t="s">
        <v>60</v>
      </c>
      <c r="BU6" s="115"/>
      <c r="BV6" s="114"/>
      <c r="BW6" s="114"/>
      <c r="BX6" s="114"/>
      <c r="BY6" s="114"/>
      <c r="BZ6" s="114"/>
      <c r="CA6" s="114"/>
    </row>
    <row r="7" s="8" customFormat="1" ht="25" customHeight="1" spans="1:79">
      <c r="A7" s="17"/>
      <c r="B7" s="18"/>
      <c r="C7" s="18"/>
      <c r="D7" s="18"/>
      <c r="E7" s="18"/>
      <c r="F7" s="18"/>
      <c r="G7" s="18"/>
      <c r="H7" s="18"/>
      <c r="I7" s="18"/>
      <c r="J7" s="27"/>
      <c r="K7" s="25"/>
      <c r="L7" s="25"/>
      <c r="M7" s="25"/>
      <c r="N7" s="25"/>
      <c r="O7" s="34"/>
      <c r="P7" s="34"/>
      <c r="Q7" s="34"/>
      <c r="R7" s="34"/>
      <c r="S7" s="34"/>
      <c r="T7" s="34"/>
      <c r="U7" s="34"/>
      <c r="V7" s="34"/>
      <c r="W7" s="34"/>
      <c r="X7" s="34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9"/>
      <c r="AJ7" s="59"/>
      <c r="AK7" s="59"/>
      <c r="AL7" s="59"/>
      <c r="AM7" s="59" t="s">
        <v>59</v>
      </c>
      <c r="AN7" s="59" t="s">
        <v>60</v>
      </c>
      <c r="AO7" s="59" t="s">
        <v>59</v>
      </c>
      <c r="AP7" s="59" t="s">
        <v>60</v>
      </c>
      <c r="AQ7" s="72"/>
      <c r="AR7" s="72"/>
      <c r="AS7" s="72"/>
      <c r="AT7" s="72"/>
      <c r="AU7" s="72" t="s">
        <v>59</v>
      </c>
      <c r="AV7" s="72" t="s">
        <v>60</v>
      </c>
      <c r="AW7" s="72"/>
      <c r="AX7" s="72"/>
      <c r="AY7" s="72"/>
      <c r="AZ7" s="72"/>
      <c r="BA7" s="84"/>
      <c r="BB7" s="84"/>
      <c r="BC7" s="84"/>
      <c r="BD7" s="84"/>
      <c r="BE7" s="84" t="s">
        <v>59</v>
      </c>
      <c r="BF7" s="84" t="s">
        <v>60</v>
      </c>
      <c r="BG7" s="92"/>
      <c r="BH7" s="92"/>
      <c r="BI7" s="92" t="s">
        <v>69</v>
      </c>
      <c r="BJ7" s="92" t="s">
        <v>60</v>
      </c>
      <c r="BK7" s="91"/>
      <c r="BL7" s="92"/>
      <c r="BM7" s="92"/>
      <c r="BN7" s="92" t="s">
        <v>69</v>
      </c>
      <c r="BO7" s="92" t="s">
        <v>60</v>
      </c>
      <c r="BP7" s="91"/>
      <c r="BQ7" s="103"/>
      <c r="BR7" s="103"/>
      <c r="BS7" s="103"/>
      <c r="BT7" s="103"/>
      <c r="BU7" s="115"/>
      <c r="BV7" s="114"/>
      <c r="BW7" s="114"/>
      <c r="BX7" s="114"/>
      <c r="BY7" s="114"/>
      <c r="BZ7" s="114"/>
      <c r="CA7" s="114"/>
    </row>
    <row r="8" ht="40" customHeight="1" spans="1:79">
      <c r="A8" s="14" t="s">
        <v>70</v>
      </c>
      <c r="B8" s="19" t="s">
        <v>71</v>
      </c>
      <c r="C8" s="19" t="s">
        <v>71</v>
      </c>
      <c r="D8" s="19" t="s">
        <v>71</v>
      </c>
      <c r="E8" s="19" t="s">
        <v>71</v>
      </c>
      <c r="F8" s="19" t="s">
        <v>71</v>
      </c>
      <c r="G8" s="19" t="s">
        <v>71</v>
      </c>
      <c r="H8" s="19" t="s">
        <v>71</v>
      </c>
      <c r="I8" s="19" t="s">
        <v>71</v>
      </c>
      <c r="J8" s="28">
        <v>342.88</v>
      </c>
      <c r="K8" s="28">
        <v>370</v>
      </c>
      <c r="L8" s="29">
        <f>J8/K8</f>
        <v>0.926702702702703</v>
      </c>
      <c r="M8" s="36">
        <v>1800</v>
      </c>
      <c r="N8" s="37">
        <v>0.190488888888889</v>
      </c>
      <c r="O8" s="38">
        <v>29</v>
      </c>
      <c r="P8" s="39">
        <v>787.1</v>
      </c>
      <c r="Q8" s="39">
        <v>141</v>
      </c>
      <c r="R8" s="38">
        <v>19</v>
      </c>
      <c r="S8" s="47">
        <v>44.46</v>
      </c>
      <c r="T8" s="48">
        <v>0.315</v>
      </c>
      <c r="U8" s="38">
        <v>20</v>
      </c>
      <c r="V8" s="38">
        <v>11</v>
      </c>
      <c r="W8" s="51">
        <v>0.55</v>
      </c>
      <c r="X8" s="38">
        <v>4</v>
      </c>
      <c r="Y8" s="54">
        <v>360</v>
      </c>
      <c r="Z8" s="54">
        <v>2426.7</v>
      </c>
      <c r="AA8" s="54">
        <v>618.9</v>
      </c>
      <c r="AB8" s="55">
        <v>174</v>
      </c>
      <c r="AC8" s="55">
        <v>99.57</v>
      </c>
      <c r="AD8" s="57">
        <v>0.161</v>
      </c>
      <c r="AE8" s="55">
        <v>202</v>
      </c>
      <c r="AF8" s="55">
        <v>79</v>
      </c>
      <c r="AG8" s="57">
        <v>0.391</v>
      </c>
      <c r="AH8" s="55">
        <v>64</v>
      </c>
      <c r="AI8" s="61">
        <v>78</v>
      </c>
      <c r="AJ8" s="61">
        <v>76</v>
      </c>
      <c r="AK8" s="61">
        <v>188</v>
      </c>
      <c r="AL8" s="61">
        <v>147</v>
      </c>
      <c r="AM8" s="67">
        <v>42</v>
      </c>
      <c r="AN8" s="61">
        <v>40</v>
      </c>
      <c r="AO8" s="61">
        <v>66</v>
      </c>
      <c r="AP8" s="61">
        <v>62</v>
      </c>
      <c r="AQ8" s="74">
        <v>271</v>
      </c>
      <c r="AR8" s="74">
        <v>85</v>
      </c>
      <c r="AS8" s="74">
        <v>144</v>
      </c>
      <c r="AT8" s="74">
        <v>55</v>
      </c>
      <c r="AU8" s="81">
        <v>45</v>
      </c>
      <c r="AV8" s="81">
        <v>11</v>
      </c>
      <c r="AW8" s="74">
        <v>270</v>
      </c>
      <c r="AX8" s="74">
        <v>84</v>
      </c>
      <c r="AY8" s="74">
        <v>8</v>
      </c>
      <c r="AZ8" s="74">
        <v>4</v>
      </c>
      <c r="BA8" s="87">
        <v>190</v>
      </c>
      <c r="BB8" s="87">
        <v>116</v>
      </c>
      <c r="BC8" s="87">
        <v>155</v>
      </c>
      <c r="BD8" s="87">
        <v>94</v>
      </c>
      <c r="BE8" s="93">
        <v>67</v>
      </c>
      <c r="BF8" s="93">
        <v>36</v>
      </c>
      <c r="BG8" s="94">
        <v>55.75</v>
      </c>
      <c r="BH8" s="94">
        <v>38.47567</v>
      </c>
      <c r="BI8" s="94">
        <v>5.736</v>
      </c>
      <c r="BJ8" s="94">
        <v>5.736</v>
      </c>
      <c r="BK8" s="98">
        <f t="shared" ref="BK8:BK14" si="0">BI8/BH8</f>
        <v>0.149081224576466</v>
      </c>
      <c r="BL8" s="94">
        <v>655.7664</v>
      </c>
      <c r="BM8" s="94">
        <v>208.75</v>
      </c>
      <c r="BN8" s="94">
        <v>20.5046</v>
      </c>
      <c r="BO8" s="94">
        <v>20.5046</v>
      </c>
      <c r="BP8" s="98">
        <f t="shared" ref="BP8:BP14" si="1">BN8/BM8</f>
        <v>0.098225628742515</v>
      </c>
      <c r="BQ8" s="106">
        <v>115</v>
      </c>
      <c r="BR8" s="106">
        <v>82</v>
      </c>
      <c r="BS8" s="106">
        <v>94</v>
      </c>
      <c r="BT8" s="106">
        <v>60</v>
      </c>
      <c r="BU8" s="116">
        <v>209</v>
      </c>
      <c r="BV8" s="117">
        <v>76</v>
      </c>
      <c r="BW8" s="117">
        <v>1</v>
      </c>
      <c r="BX8" s="117">
        <v>83</v>
      </c>
      <c r="BY8" s="117">
        <v>18</v>
      </c>
      <c r="BZ8" s="117">
        <v>0</v>
      </c>
      <c r="CA8" s="117">
        <v>31</v>
      </c>
    </row>
    <row r="9" ht="40" customHeight="1" spans="1:79">
      <c r="A9" s="14" t="s">
        <v>72</v>
      </c>
      <c r="B9" s="20">
        <v>4</v>
      </c>
      <c r="C9" s="20">
        <v>6</v>
      </c>
      <c r="D9" s="20">
        <v>1</v>
      </c>
      <c r="E9" s="20">
        <v>0</v>
      </c>
      <c r="F9" s="20">
        <v>2</v>
      </c>
      <c r="G9" s="20">
        <v>2</v>
      </c>
      <c r="H9" s="20">
        <v>2</v>
      </c>
      <c r="I9" s="20">
        <v>2</v>
      </c>
      <c r="J9" s="30">
        <v>67.98</v>
      </c>
      <c r="K9" s="30">
        <v>67.8</v>
      </c>
      <c r="L9" s="29">
        <f t="shared" ref="L9:L14" si="2">J9/K9</f>
        <v>1.00265486725664</v>
      </c>
      <c r="M9" s="40">
        <v>330</v>
      </c>
      <c r="N9" s="41">
        <v>0.206</v>
      </c>
      <c r="O9" s="38">
        <v>7</v>
      </c>
      <c r="P9" s="39">
        <v>199.9</v>
      </c>
      <c r="Q9" s="39">
        <v>38</v>
      </c>
      <c r="R9" s="38">
        <v>5</v>
      </c>
      <c r="S9" s="47">
        <v>15.25</v>
      </c>
      <c r="T9" s="48">
        <v>0.401</v>
      </c>
      <c r="U9" s="38">
        <v>4</v>
      </c>
      <c r="V9" s="38">
        <v>2</v>
      </c>
      <c r="W9" s="48">
        <v>0.5</v>
      </c>
      <c r="X9" s="38">
        <v>1</v>
      </c>
      <c r="Y9" s="54">
        <v>75</v>
      </c>
      <c r="Z9" s="54">
        <v>392.2</v>
      </c>
      <c r="AA9" s="54">
        <v>109.8</v>
      </c>
      <c r="AB9" s="55">
        <v>47</v>
      </c>
      <c r="AC9" s="55">
        <v>20.42</v>
      </c>
      <c r="AD9" s="57">
        <v>0.186</v>
      </c>
      <c r="AE9" s="55">
        <v>33</v>
      </c>
      <c r="AF9" s="55">
        <v>18</v>
      </c>
      <c r="AG9" s="57">
        <v>0.545</v>
      </c>
      <c r="AH9" s="55">
        <v>13</v>
      </c>
      <c r="AI9" s="62">
        <v>18</v>
      </c>
      <c r="AJ9" s="62">
        <v>18</v>
      </c>
      <c r="AK9" s="62">
        <v>44</v>
      </c>
      <c r="AL9" s="62">
        <v>42</v>
      </c>
      <c r="AM9" s="68">
        <v>11</v>
      </c>
      <c r="AN9" s="62">
        <v>11</v>
      </c>
      <c r="AO9" s="62">
        <v>18</v>
      </c>
      <c r="AP9" s="75">
        <v>18</v>
      </c>
      <c r="AQ9" s="76">
        <v>45</v>
      </c>
      <c r="AR9" s="76">
        <v>17</v>
      </c>
      <c r="AS9" s="76">
        <v>45</v>
      </c>
      <c r="AT9" s="76">
        <v>20</v>
      </c>
      <c r="AU9" s="81">
        <v>9</v>
      </c>
      <c r="AV9" s="81">
        <v>3</v>
      </c>
      <c r="AW9" s="77">
        <v>53</v>
      </c>
      <c r="AX9" s="77">
        <v>23</v>
      </c>
      <c r="AY9" s="77">
        <v>4</v>
      </c>
      <c r="AZ9" s="77">
        <v>3</v>
      </c>
      <c r="BA9" s="88">
        <v>38</v>
      </c>
      <c r="BB9" s="88">
        <v>19</v>
      </c>
      <c r="BC9" s="88">
        <v>29</v>
      </c>
      <c r="BD9" s="88">
        <v>21</v>
      </c>
      <c r="BE9" s="93">
        <v>11</v>
      </c>
      <c r="BF9" s="93">
        <v>9</v>
      </c>
      <c r="BG9" s="95">
        <v>10.19127</v>
      </c>
      <c r="BH9" s="95">
        <v>9.30827</v>
      </c>
      <c r="BI9" s="95">
        <v>0.3031</v>
      </c>
      <c r="BJ9" s="95">
        <v>0.3031</v>
      </c>
      <c r="BK9" s="98">
        <f t="shared" si="0"/>
        <v>0.0325624417856379</v>
      </c>
      <c r="BL9" s="95">
        <v>88.8464</v>
      </c>
      <c r="BM9" s="95">
        <v>34.43</v>
      </c>
      <c r="BN9" s="95">
        <v>0.6672</v>
      </c>
      <c r="BO9" s="95">
        <v>0.6672</v>
      </c>
      <c r="BP9" s="98">
        <f t="shared" si="1"/>
        <v>0.0193784490270113</v>
      </c>
      <c r="BQ9" s="107">
        <v>10</v>
      </c>
      <c r="BR9" s="107">
        <v>9</v>
      </c>
      <c r="BS9" s="107">
        <v>23</v>
      </c>
      <c r="BT9" s="107">
        <v>17</v>
      </c>
      <c r="BU9" s="118">
        <v>30</v>
      </c>
      <c r="BV9" s="117">
        <v>16</v>
      </c>
      <c r="BW9" s="117">
        <v>2</v>
      </c>
      <c r="BX9" s="117">
        <v>11</v>
      </c>
      <c r="BY9" s="117">
        <v>0</v>
      </c>
      <c r="BZ9" s="117">
        <v>0</v>
      </c>
      <c r="CA9" s="117">
        <v>1</v>
      </c>
    </row>
    <row r="10" ht="40" customHeight="1" spans="1:79">
      <c r="A10" s="14" t="s">
        <v>73</v>
      </c>
      <c r="B10" s="20">
        <v>0</v>
      </c>
      <c r="C10" s="20">
        <v>3</v>
      </c>
      <c r="D10" s="20">
        <v>3</v>
      </c>
      <c r="E10" s="20">
        <v>3</v>
      </c>
      <c r="F10" s="20">
        <v>2</v>
      </c>
      <c r="G10" s="20">
        <v>4</v>
      </c>
      <c r="H10" s="20">
        <v>2</v>
      </c>
      <c r="I10" s="20">
        <v>4</v>
      </c>
      <c r="J10" s="30">
        <v>40.23</v>
      </c>
      <c r="K10" s="30">
        <v>67.8</v>
      </c>
      <c r="L10" s="29">
        <f t="shared" si="2"/>
        <v>0.593362831858407</v>
      </c>
      <c r="M10" s="40">
        <v>330</v>
      </c>
      <c r="N10" s="41">
        <v>0.1219</v>
      </c>
      <c r="O10" s="38">
        <v>5</v>
      </c>
      <c r="P10" s="39">
        <v>125.7</v>
      </c>
      <c r="Q10" s="39">
        <v>27</v>
      </c>
      <c r="R10" s="38">
        <v>3</v>
      </c>
      <c r="S10" s="47">
        <v>6.09</v>
      </c>
      <c r="T10" s="48">
        <v>0.226</v>
      </c>
      <c r="U10" s="38">
        <v>4</v>
      </c>
      <c r="V10" s="38">
        <v>3</v>
      </c>
      <c r="W10" s="48">
        <v>0.75</v>
      </c>
      <c r="X10" s="38">
        <v>1</v>
      </c>
      <c r="Y10" s="54">
        <v>64</v>
      </c>
      <c r="Z10" s="54">
        <v>598.7</v>
      </c>
      <c r="AA10" s="54">
        <v>88.4</v>
      </c>
      <c r="AB10" s="55">
        <v>28</v>
      </c>
      <c r="AC10" s="55">
        <v>15.12</v>
      </c>
      <c r="AD10" s="57">
        <v>0.171</v>
      </c>
      <c r="AE10" s="55">
        <v>33</v>
      </c>
      <c r="AF10" s="55">
        <v>12</v>
      </c>
      <c r="AG10" s="57">
        <v>0.364</v>
      </c>
      <c r="AH10" s="55">
        <v>15</v>
      </c>
      <c r="AI10" s="62">
        <v>19</v>
      </c>
      <c r="AJ10" s="62">
        <v>19</v>
      </c>
      <c r="AK10" s="62">
        <v>43</v>
      </c>
      <c r="AL10" s="62">
        <v>13</v>
      </c>
      <c r="AM10" s="68">
        <v>14</v>
      </c>
      <c r="AN10" s="62">
        <v>12</v>
      </c>
      <c r="AO10" s="62">
        <v>2</v>
      </c>
      <c r="AP10" s="62">
        <v>0</v>
      </c>
      <c r="AQ10" s="77">
        <v>49</v>
      </c>
      <c r="AR10" s="77">
        <v>14</v>
      </c>
      <c r="AS10" s="77">
        <v>20</v>
      </c>
      <c r="AT10" s="77">
        <v>6</v>
      </c>
      <c r="AU10" s="81">
        <v>4</v>
      </c>
      <c r="AV10" s="81">
        <v>0</v>
      </c>
      <c r="AW10" s="77">
        <v>60</v>
      </c>
      <c r="AX10" s="77">
        <v>13</v>
      </c>
      <c r="AY10" s="77">
        <v>1</v>
      </c>
      <c r="AZ10" s="77">
        <v>0</v>
      </c>
      <c r="BA10" s="88">
        <v>50</v>
      </c>
      <c r="BB10" s="88">
        <v>27</v>
      </c>
      <c r="BC10" s="88">
        <v>15</v>
      </c>
      <c r="BD10" s="88">
        <v>10</v>
      </c>
      <c r="BE10" s="93">
        <v>8</v>
      </c>
      <c r="BF10" s="93">
        <v>4</v>
      </c>
      <c r="BG10" s="95">
        <v>17.3</v>
      </c>
      <c r="BH10" s="95">
        <v>7</v>
      </c>
      <c r="BI10" s="95">
        <v>0.7837</v>
      </c>
      <c r="BJ10" s="95">
        <v>0.7837</v>
      </c>
      <c r="BK10" s="98">
        <f t="shared" si="0"/>
        <v>0.111957142857143</v>
      </c>
      <c r="BL10" s="95">
        <v>140.1</v>
      </c>
      <c r="BM10" s="95">
        <v>18.75</v>
      </c>
      <c r="BN10" s="95">
        <v>0.745</v>
      </c>
      <c r="BO10" s="95">
        <v>0.745</v>
      </c>
      <c r="BP10" s="98">
        <f t="shared" si="1"/>
        <v>0.0397333333333333</v>
      </c>
      <c r="BQ10" s="107">
        <v>29</v>
      </c>
      <c r="BR10" s="107">
        <v>20</v>
      </c>
      <c r="BS10" s="107">
        <v>12</v>
      </c>
      <c r="BT10" s="107">
        <v>8</v>
      </c>
      <c r="BU10" s="119">
        <v>29</v>
      </c>
      <c r="BV10" s="117">
        <v>15</v>
      </c>
      <c r="BW10" s="117">
        <v>1</v>
      </c>
      <c r="BX10" s="117">
        <v>5</v>
      </c>
      <c r="BY10" s="117">
        <v>3</v>
      </c>
      <c r="BZ10" s="117">
        <v>0</v>
      </c>
      <c r="CA10" s="117">
        <v>5</v>
      </c>
    </row>
    <row r="11" ht="40" customHeight="1" spans="1:79">
      <c r="A11" s="14" t="s">
        <v>74</v>
      </c>
      <c r="B11" s="20">
        <v>1</v>
      </c>
      <c r="C11" s="20">
        <v>1</v>
      </c>
      <c r="D11" s="20">
        <v>6</v>
      </c>
      <c r="E11" s="20">
        <v>4</v>
      </c>
      <c r="F11" s="20">
        <v>1</v>
      </c>
      <c r="G11" s="20">
        <v>2</v>
      </c>
      <c r="H11" s="20">
        <v>1</v>
      </c>
      <c r="I11" s="20">
        <v>2</v>
      </c>
      <c r="J11" s="30">
        <v>63.35</v>
      </c>
      <c r="K11" s="30">
        <v>63.7</v>
      </c>
      <c r="L11" s="29">
        <f t="shared" si="2"/>
        <v>0.994505494505495</v>
      </c>
      <c r="M11" s="40">
        <v>310</v>
      </c>
      <c r="N11" s="41">
        <v>0.2044</v>
      </c>
      <c r="O11" s="38">
        <v>5</v>
      </c>
      <c r="P11" s="39">
        <v>186.1</v>
      </c>
      <c r="Q11" s="39">
        <v>26</v>
      </c>
      <c r="R11" s="38">
        <v>3</v>
      </c>
      <c r="S11" s="47">
        <v>6.34</v>
      </c>
      <c r="T11" s="48">
        <v>0.244</v>
      </c>
      <c r="U11" s="38">
        <v>3</v>
      </c>
      <c r="V11" s="38">
        <v>1</v>
      </c>
      <c r="W11" s="48">
        <v>0.333</v>
      </c>
      <c r="X11" s="38">
        <v>0</v>
      </c>
      <c r="Y11" s="54">
        <v>69</v>
      </c>
      <c r="Z11" s="54">
        <v>486.3</v>
      </c>
      <c r="AA11" s="54">
        <v>150.3</v>
      </c>
      <c r="AB11" s="55">
        <v>39</v>
      </c>
      <c r="AC11" s="55">
        <v>26.71</v>
      </c>
      <c r="AD11" s="57">
        <v>0.178</v>
      </c>
      <c r="AE11" s="55">
        <v>31</v>
      </c>
      <c r="AF11" s="55">
        <v>8</v>
      </c>
      <c r="AG11" s="57">
        <v>0.258</v>
      </c>
      <c r="AH11" s="55">
        <v>7</v>
      </c>
      <c r="AI11" s="61">
        <v>5</v>
      </c>
      <c r="AJ11" s="61">
        <v>5</v>
      </c>
      <c r="AK11" s="69">
        <v>34</v>
      </c>
      <c r="AL11" s="62">
        <v>34</v>
      </c>
      <c r="AM11" s="68">
        <v>7</v>
      </c>
      <c r="AN11" s="62">
        <v>7</v>
      </c>
      <c r="AO11" s="62">
        <v>10</v>
      </c>
      <c r="AP11" s="62">
        <v>9</v>
      </c>
      <c r="AQ11" s="77">
        <v>46</v>
      </c>
      <c r="AR11" s="77">
        <v>8</v>
      </c>
      <c r="AS11" s="77">
        <v>16</v>
      </c>
      <c r="AT11" s="77">
        <v>5</v>
      </c>
      <c r="AU11" s="81">
        <v>3</v>
      </c>
      <c r="AV11" s="81">
        <v>1</v>
      </c>
      <c r="AW11" s="77">
        <v>35</v>
      </c>
      <c r="AX11" s="77">
        <v>7</v>
      </c>
      <c r="AY11" s="77">
        <v>0</v>
      </c>
      <c r="AZ11" s="77">
        <v>0</v>
      </c>
      <c r="BA11" s="88">
        <v>8</v>
      </c>
      <c r="BB11" s="88">
        <v>6</v>
      </c>
      <c r="BC11" s="88">
        <v>28</v>
      </c>
      <c r="BD11" s="88">
        <v>17</v>
      </c>
      <c r="BE11" s="93">
        <v>8</v>
      </c>
      <c r="BF11" s="93">
        <v>6</v>
      </c>
      <c r="BG11" s="95">
        <v>3.78</v>
      </c>
      <c r="BH11" s="95">
        <v>3.18</v>
      </c>
      <c r="BI11" s="95">
        <v>1.8971</v>
      </c>
      <c r="BJ11" s="95">
        <v>1.8971</v>
      </c>
      <c r="BK11" s="98">
        <f t="shared" si="0"/>
        <v>0.596572327044025</v>
      </c>
      <c r="BL11" s="95">
        <v>83.13</v>
      </c>
      <c r="BM11" s="95">
        <v>36.78</v>
      </c>
      <c r="BN11" s="95">
        <v>2.2366</v>
      </c>
      <c r="BO11" s="95">
        <v>2.2366</v>
      </c>
      <c r="BP11" s="98">
        <f t="shared" si="1"/>
        <v>0.0608102229472539</v>
      </c>
      <c r="BQ11" s="107">
        <v>4</v>
      </c>
      <c r="BR11" s="107">
        <v>3</v>
      </c>
      <c r="BS11" s="107">
        <v>6</v>
      </c>
      <c r="BT11" s="107">
        <v>2</v>
      </c>
      <c r="BU11" s="118">
        <v>30</v>
      </c>
      <c r="BV11" s="117">
        <v>14</v>
      </c>
      <c r="BW11" s="117">
        <v>0</v>
      </c>
      <c r="BX11" s="117">
        <v>13</v>
      </c>
      <c r="BY11" s="117">
        <v>0</v>
      </c>
      <c r="BZ11" s="117">
        <v>0</v>
      </c>
      <c r="CA11" s="117">
        <v>3</v>
      </c>
    </row>
    <row r="12" ht="40" customHeight="1" spans="1:79">
      <c r="A12" s="14" t="s">
        <v>75</v>
      </c>
      <c r="B12" s="20">
        <v>1</v>
      </c>
      <c r="C12" s="20">
        <v>0</v>
      </c>
      <c r="D12" s="20">
        <v>1</v>
      </c>
      <c r="E12" s="20">
        <v>0</v>
      </c>
      <c r="F12" s="20">
        <v>7</v>
      </c>
      <c r="G12" s="20">
        <v>6</v>
      </c>
      <c r="H12" s="20">
        <v>7</v>
      </c>
      <c r="I12" s="20">
        <v>6</v>
      </c>
      <c r="J12" s="28">
        <v>53</v>
      </c>
      <c r="K12" s="28">
        <v>51.5</v>
      </c>
      <c r="L12" s="29">
        <f t="shared" si="2"/>
        <v>1.02912621359223</v>
      </c>
      <c r="M12" s="36">
        <v>250</v>
      </c>
      <c r="N12" s="41">
        <v>0.212</v>
      </c>
      <c r="O12" s="38">
        <v>1</v>
      </c>
      <c r="P12" s="39">
        <v>10</v>
      </c>
      <c r="Q12" s="39">
        <v>3</v>
      </c>
      <c r="R12" s="38">
        <v>0</v>
      </c>
      <c r="S12" s="47">
        <v>0</v>
      </c>
      <c r="T12" s="48">
        <v>0</v>
      </c>
      <c r="U12" s="38">
        <v>1</v>
      </c>
      <c r="V12" s="38">
        <v>0</v>
      </c>
      <c r="W12" s="48">
        <v>0</v>
      </c>
      <c r="X12" s="38">
        <v>0</v>
      </c>
      <c r="Y12" s="54">
        <v>38</v>
      </c>
      <c r="Z12" s="54">
        <v>183.2</v>
      </c>
      <c r="AA12" s="54">
        <v>62.7</v>
      </c>
      <c r="AB12" s="55">
        <v>9</v>
      </c>
      <c r="AC12" s="55">
        <v>12.18</v>
      </c>
      <c r="AD12" s="57">
        <v>0.194</v>
      </c>
      <c r="AE12" s="55">
        <v>30</v>
      </c>
      <c r="AF12" s="55">
        <v>15</v>
      </c>
      <c r="AG12" s="57">
        <v>0.5</v>
      </c>
      <c r="AH12" s="55">
        <v>14</v>
      </c>
      <c r="AI12" s="61">
        <v>17</v>
      </c>
      <c r="AJ12" s="61">
        <v>17</v>
      </c>
      <c r="AK12" s="61">
        <v>19</v>
      </c>
      <c r="AL12" s="61">
        <v>18</v>
      </c>
      <c r="AM12" s="68">
        <v>1</v>
      </c>
      <c r="AN12" s="61">
        <v>1</v>
      </c>
      <c r="AO12" s="61">
        <v>16</v>
      </c>
      <c r="AP12" s="61">
        <v>15</v>
      </c>
      <c r="AQ12" s="76">
        <v>36</v>
      </c>
      <c r="AR12" s="76">
        <v>17</v>
      </c>
      <c r="AS12" s="76">
        <v>18</v>
      </c>
      <c r="AT12" s="76">
        <v>6</v>
      </c>
      <c r="AU12" s="81">
        <v>6</v>
      </c>
      <c r="AV12" s="81">
        <v>0</v>
      </c>
      <c r="AW12" s="76">
        <v>18</v>
      </c>
      <c r="AX12" s="76">
        <v>10</v>
      </c>
      <c r="AY12" s="82">
        <v>0</v>
      </c>
      <c r="AZ12" s="74">
        <v>0</v>
      </c>
      <c r="BA12" s="88">
        <v>24</v>
      </c>
      <c r="BB12" s="87">
        <v>24</v>
      </c>
      <c r="BC12" s="88">
        <v>24</v>
      </c>
      <c r="BD12" s="87">
        <v>14</v>
      </c>
      <c r="BE12" s="93">
        <v>10</v>
      </c>
      <c r="BF12" s="93">
        <v>4</v>
      </c>
      <c r="BG12" s="95">
        <v>9.655</v>
      </c>
      <c r="BH12" s="94">
        <v>5.9764</v>
      </c>
      <c r="BI12" s="94">
        <v>0.4338</v>
      </c>
      <c r="BJ12" s="94">
        <v>0.4338</v>
      </c>
      <c r="BK12" s="98">
        <f t="shared" si="0"/>
        <v>0.0725855029783816</v>
      </c>
      <c r="BL12" s="95">
        <v>121.8</v>
      </c>
      <c r="BM12" s="94">
        <v>31.5</v>
      </c>
      <c r="BN12" s="100">
        <v>3.6119</v>
      </c>
      <c r="BO12" s="100">
        <v>3.6119</v>
      </c>
      <c r="BP12" s="98">
        <f t="shared" si="1"/>
        <v>0.114663492063492</v>
      </c>
      <c r="BQ12" s="106">
        <v>16</v>
      </c>
      <c r="BR12" s="106">
        <v>16</v>
      </c>
      <c r="BS12" s="106">
        <v>11</v>
      </c>
      <c r="BT12" s="106">
        <v>8</v>
      </c>
      <c r="BU12" s="119">
        <v>42</v>
      </c>
      <c r="BV12" s="117">
        <v>11</v>
      </c>
      <c r="BW12" s="117">
        <v>0</v>
      </c>
      <c r="BX12" s="117">
        <v>21</v>
      </c>
      <c r="BY12" s="117">
        <v>5</v>
      </c>
      <c r="BZ12" s="117">
        <v>0</v>
      </c>
      <c r="CA12" s="117">
        <v>5</v>
      </c>
    </row>
    <row r="13" ht="40" customHeight="1" spans="1:79">
      <c r="A13" s="14" t="s">
        <v>76</v>
      </c>
      <c r="B13" s="20">
        <v>2</v>
      </c>
      <c r="C13" s="20">
        <v>2</v>
      </c>
      <c r="D13" s="20">
        <v>5</v>
      </c>
      <c r="E13" s="20">
        <v>5</v>
      </c>
      <c r="F13" s="20">
        <v>1</v>
      </c>
      <c r="G13" s="20">
        <v>0</v>
      </c>
      <c r="H13" s="20">
        <v>1</v>
      </c>
      <c r="I13" s="20">
        <v>0</v>
      </c>
      <c r="J13" s="30">
        <v>56.4</v>
      </c>
      <c r="K13" s="30">
        <v>53.4</v>
      </c>
      <c r="L13" s="29">
        <f t="shared" si="2"/>
        <v>1.0561797752809</v>
      </c>
      <c r="M13" s="40">
        <v>260</v>
      </c>
      <c r="N13" s="41">
        <v>0.2169</v>
      </c>
      <c r="O13" s="38">
        <v>6</v>
      </c>
      <c r="P13" s="39">
        <v>120.2</v>
      </c>
      <c r="Q13" s="39">
        <v>20</v>
      </c>
      <c r="R13" s="38">
        <v>4</v>
      </c>
      <c r="S13" s="47">
        <v>6.09</v>
      </c>
      <c r="T13" s="48">
        <v>0.305</v>
      </c>
      <c r="U13" s="38">
        <v>5</v>
      </c>
      <c r="V13" s="38">
        <v>3</v>
      </c>
      <c r="W13" s="48">
        <v>0.6</v>
      </c>
      <c r="X13" s="38">
        <v>1</v>
      </c>
      <c r="Y13" s="54">
        <v>68</v>
      </c>
      <c r="Z13" s="54">
        <v>511.4</v>
      </c>
      <c r="AA13" s="54">
        <v>123.9</v>
      </c>
      <c r="AB13" s="55">
        <v>40</v>
      </c>
      <c r="AC13" s="55">
        <v>16.28</v>
      </c>
      <c r="AD13" s="57">
        <v>0.131</v>
      </c>
      <c r="AE13" s="55">
        <v>38</v>
      </c>
      <c r="AF13" s="55">
        <v>14</v>
      </c>
      <c r="AG13" s="57">
        <v>0.368</v>
      </c>
      <c r="AH13" s="55">
        <v>5</v>
      </c>
      <c r="AI13" s="63">
        <v>7</v>
      </c>
      <c r="AJ13" s="63">
        <v>7</v>
      </c>
      <c r="AK13" s="62">
        <v>27</v>
      </c>
      <c r="AL13" s="62">
        <v>27</v>
      </c>
      <c r="AM13" s="68">
        <v>8</v>
      </c>
      <c r="AN13" s="62">
        <v>8</v>
      </c>
      <c r="AO13" s="62">
        <v>13</v>
      </c>
      <c r="AP13" s="62">
        <v>13</v>
      </c>
      <c r="AQ13" s="76">
        <v>53</v>
      </c>
      <c r="AR13" s="78">
        <v>13</v>
      </c>
      <c r="AS13" s="78">
        <v>20</v>
      </c>
      <c r="AT13" s="78">
        <v>7</v>
      </c>
      <c r="AU13" s="81">
        <v>14</v>
      </c>
      <c r="AV13" s="81">
        <v>4</v>
      </c>
      <c r="AW13" s="78">
        <v>34</v>
      </c>
      <c r="AX13" s="78">
        <v>11</v>
      </c>
      <c r="AY13" s="78">
        <v>1</v>
      </c>
      <c r="AZ13" s="83" t="s">
        <v>77</v>
      </c>
      <c r="BA13" s="89">
        <v>25</v>
      </c>
      <c r="BB13" s="89">
        <v>12</v>
      </c>
      <c r="BC13" s="89">
        <v>34</v>
      </c>
      <c r="BD13" s="89">
        <v>16</v>
      </c>
      <c r="BE13" s="93">
        <v>21</v>
      </c>
      <c r="BF13" s="93">
        <v>9</v>
      </c>
      <c r="BG13" s="95">
        <v>6.548</v>
      </c>
      <c r="BH13" s="95">
        <v>5.354</v>
      </c>
      <c r="BI13" s="95">
        <v>0.7529</v>
      </c>
      <c r="BJ13" s="95">
        <v>0.7529</v>
      </c>
      <c r="BK13" s="98">
        <f t="shared" si="0"/>
        <v>0.140623832648487</v>
      </c>
      <c r="BL13" s="95">
        <v>154.4</v>
      </c>
      <c r="BM13" s="95">
        <v>54.5</v>
      </c>
      <c r="BN13" s="95">
        <v>5.1915</v>
      </c>
      <c r="BO13" s="95">
        <v>5.1915</v>
      </c>
      <c r="BP13" s="98">
        <f t="shared" si="1"/>
        <v>0.0952568807339449</v>
      </c>
      <c r="BQ13" s="108">
        <v>25</v>
      </c>
      <c r="BR13" s="108">
        <v>12</v>
      </c>
      <c r="BS13" s="108">
        <v>16</v>
      </c>
      <c r="BT13" s="108">
        <v>9</v>
      </c>
      <c r="BU13" s="119">
        <v>56</v>
      </c>
      <c r="BV13" s="117">
        <v>23</v>
      </c>
      <c r="BW13" s="117">
        <v>0</v>
      </c>
      <c r="BX13" s="117">
        <v>17</v>
      </c>
      <c r="BY13" s="117">
        <v>7</v>
      </c>
      <c r="BZ13" s="117">
        <v>0</v>
      </c>
      <c r="CA13" s="117">
        <v>9</v>
      </c>
    </row>
    <row r="14" ht="40" customHeight="1" spans="1:79">
      <c r="A14" s="14" t="s">
        <v>78</v>
      </c>
      <c r="B14" s="20">
        <v>7</v>
      </c>
      <c r="C14" s="20">
        <v>3</v>
      </c>
      <c r="D14" s="20">
        <v>0</v>
      </c>
      <c r="E14" s="20">
        <v>2</v>
      </c>
      <c r="F14" s="20">
        <v>3</v>
      </c>
      <c r="G14" s="20">
        <v>0</v>
      </c>
      <c r="H14" s="20">
        <v>3</v>
      </c>
      <c r="I14" s="20">
        <v>0</v>
      </c>
      <c r="J14" s="30">
        <v>61.92</v>
      </c>
      <c r="K14" s="30">
        <v>65.8</v>
      </c>
      <c r="L14" s="29">
        <f t="shared" si="2"/>
        <v>0.941033434650456</v>
      </c>
      <c r="M14" s="40">
        <v>320</v>
      </c>
      <c r="N14" s="41">
        <v>0.1935</v>
      </c>
      <c r="O14" s="38">
        <v>5</v>
      </c>
      <c r="P14" s="39">
        <v>145.2</v>
      </c>
      <c r="Q14" s="39">
        <v>27</v>
      </c>
      <c r="R14" s="38">
        <v>4</v>
      </c>
      <c r="S14" s="47">
        <v>10.69</v>
      </c>
      <c r="T14" s="48">
        <v>0.396</v>
      </c>
      <c r="U14" s="38">
        <v>3</v>
      </c>
      <c r="V14" s="38">
        <v>2</v>
      </c>
      <c r="W14" s="48">
        <v>0.667</v>
      </c>
      <c r="X14" s="38">
        <v>1</v>
      </c>
      <c r="Y14" s="54">
        <v>46</v>
      </c>
      <c r="Z14" s="54">
        <v>254.8</v>
      </c>
      <c r="AA14" s="54">
        <v>83.7</v>
      </c>
      <c r="AB14" s="55">
        <v>11</v>
      </c>
      <c r="AC14" s="55">
        <v>8.86</v>
      </c>
      <c r="AD14" s="57">
        <v>0.106</v>
      </c>
      <c r="AE14" s="55">
        <v>37</v>
      </c>
      <c r="AF14" s="55">
        <v>12</v>
      </c>
      <c r="AG14" s="57">
        <v>0.324</v>
      </c>
      <c r="AH14" s="55">
        <v>10</v>
      </c>
      <c r="AI14" s="64">
        <v>12</v>
      </c>
      <c r="AJ14" s="64">
        <v>10</v>
      </c>
      <c r="AK14" s="70">
        <v>21</v>
      </c>
      <c r="AL14" s="70">
        <v>13</v>
      </c>
      <c r="AM14" s="68">
        <v>1</v>
      </c>
      <c r="AN14" s="70">
        <v>1</v>
      </c>
      <c r="AO14" s="70">
        <v>7</v>
      </c>
      <c r="AP14" s="70">
        <v>7</v>
      </c>
      <c r="AQ14" s="79">
        <v>42</v>
      </c>
      <c r="AR14" s="79">
        <v>16</v>
      </c>
      <c r="AS14" s="79">
        <v>25</v>
      </c>
      <c r="AT14" s="79">
        <v>11</v>
      </c>
      <c r="AU14" s="81">
        <v>9</v>
      </c>
      <c r="AV14" s="81">
        <v>3</v>
      </c>
      <c r="AW14" s="79">
        <v>70</v>
      </c>
      <c r="AX14" s="79">
        <v>20</v>
      </c>
      <c r="AY14" s="79">
        <v>2</v>
      </c>
      <c r="AZ14" s="79">
        <v>1</v>
      </c>
      <c r="BA14" s="90">
        <v>45</v>
      </c>
      <c r="BB14" s="90">
        <v>28</v>
      </c>
      <c r="BC14" s="90">
        <v>25</v>
      </c>
      <c r="BD14" s="90">
        <v>16</v>
      </c>
      <c r="BE14" s="93">
        <v>9</v>
      </c>
      <c r="BF14" s="93">
        <v>4</v>
      </c>
      <c r="BG14" s="95">
        <v>8.277</v>
      </c>
      <c r="BH14" s="95">
        <v>7.657</v>
      </c>
      <c r="BI14" s="95">
        <v>1.5654</v>
      </c>
      <c r="BJ14" s="95">
        <v>1.5654</v>
      </c>
      <c r="BK14" s="98">
        <f t="shared" si="0"/>
        <v>0.204440381350398</v>
      </c>
      <c r="BL14" s="95">
        <v>67.49</v>
      </c>
      <c r="BM14" s="95">
        <v>32.79</v>
      </c>
      <c r="BN14" s="95">
        <v>8.0524</v>
      </c>
      <c r="BO14" s="95">
        <v>8.0524</v>
      </c>
      <c r="BP14" s="98">
        <f t="shared" si="1"/>
        <v>0.245574870387313</v>
      </c>
      <c r="BQ14" s="109">
        <v>31</v>
      </c>
      <c r="BR14" s="109">
        <v>22</v>
      </c>
      <c r="BS14" s="109">
        <v>26</v>
      </c>
      <c r="BT14" s="109">
        <v>16</v>
      </c>
      <c r="BU14" s="120">
        <v>52</v>
      </c>
      <c r="BV14" s="117">
        <v>13</v>
      </c>
      <c r="BW14" s="117">
        <v>0</v>
      </c>
      <c r="BX14" s="117">
        <v>27</v>
      </c>
      <c r="BY14" s="117">
        <v>3</v>
      </c>
      <c r="BZ14" s="117">
        <v>0</v>
      </c>
      <c r="CA14" s="117">
        <v>9</v>
      </c>
    </row>
    <row r="15" s="9" customFormat="1" ht="13" customHeight="1" spans="1:79">
      <c r="A15" s="21"/>
      <c r="B15" s="22"/>
      <c r="C15" s="22"/>
      <c r="D15" s="22"/>
      <c r="E15" s="22"/>
      <c r="F15" s="22"/>
      <c r="G15" s="22"/>
      <c r="H15" s="22"/>
      <c r="I15" s="22"/>
      <c r="J15" s="31"/>
      <c r="K15" s="31"/>
      <c r="L15" s="32"/>
      <c r="M15" s="42"/>
      <c r="N15" s="43"/>
      <c r="O15" s="44"/>
      <c r="P15" s="45"/>
      <c r="Q15" s="45"/>
      <c r="R15" s="44"/>
      <c r="S15" s="49"/>
      <c r="T15" s="50"/>
      <c r="U15" s="44"/>
      <c r="V15" s="44"/>
      <c r="W15" s="50"/>
      <c r="X15" s="44"/>
      <c r="Y15" s="44"/>
      <c r="Z15" s="44"/>
      <c r="AA15" s="44"/>
      <c r="AB15" s="56"/>
      <c r="AC15" s="56"/>
      <c r="AD15" s="58"/>
      <c r="AE15" s="56"/>
      <c r="AF15" s="56"/>
      <c r="AG15" s="58"/>
      <c r="AH15" s="56"/>
      <c r="AI15" s="65"/>
      <c r="AJ15" s="65"/>
      <c r="AK15" s="42"/>
      <c r="AL15" s="42"/>
      <c r="AM15" s="71"/>
      <c r="AN15" s="42"/>
      <c r="AO15" s="42"/>
      <c r="AP15" s="42"/>
      <c r="AQ15" s="42"/>
      <c r="AR15" s="42"/>
      <c r="AS15" s="42"/>
      <c r="AT15" s="42"/>
      <c r="AU15" s="56"/>
      <c r="AV15" s="56"/>
      <c r="AW15" s="42"/>
      <c r="AX15" s="42"/>
      <c r="AY15" s="42"/>
      <c r="AZ15" s="42"/>
      <c r="BA15" s="42"/>
      <c r="BB15" s="42"/>
      <c r="BC15" s="42"/>
      <c r="BD15" s="42"/>
      <c r="BE15" s="56"/>
      <c r="BF15" s="56"/>
      <c r="BG15" s="96"/>
      <c r="BH15" s="96"/>
      <c r="BI15" s="96"/>
      <c r="BJ15" s="96"/>
      <c r="BK15" s="43"/>
      <c r="BL15" s="96"/>
      <c r="BM15" s="96"/>
      <c r="BN15" s="96"/>
      <c r="BO15" s="96"/>
      <c r="BP15" s="101"/>
      <c r="BQ15" s="42"/>
      <c r="BR15" s="42"/>
      <c r="BS15" s="42"/>
      <c r="BT15" s="42"/>
      <c r="BU15" s="121"/>
      <c r="BV15" s="56"/>
      <c r="BW15" s="56"/>
      <c r="BX15" s="56"/>
      <c r="BY15" s="56"/>
      <c r="BZ15" s="56"/>
      <c r="CA15" s="56"/>
    </row>
    <row r="16" s="10" customFormat="1" ht="74" customHeight="1" spans="2:79">
      <c r="B16" s="23" t="s">
        <v>79</v>
      </c>
      <c r="C16" s="23"/>
      <c r="D16" s="23"/>
      <c r="E16" s="23"/>
      <c r="F16" s="23"/>
      <c r="G16" s="23"/>
      <c r="H16" s="23"/>
      <c r="I16" s="23"/>
      <c r="J16" s="23"/>
      <c r="K16" s="33"/>
      <c r="L16" s="33"/>
      <c r="M16" s="33"/>
      <c r="N16" s="33"/>
      <c r="O16" s="23" t="s">
        <v>80</v>
      </c>
      <c r="P16" s="33"/>
      <c r="Q16" s="33"/>
      <c r="R16" s="33"/>
      <c r="S16" s="33"/>
      <c r="T16" s="33"/>
      <c r="U16" s="33"/>
      <c r="V16" s="33"/>
      <c r="W16" s="33"/>
      <c r="X16" s="33"/>
      <c r="Y16" s="23" t="s">
        <v>81</v>
      </c>
      <c r="Z16" s="33"/>
      <c r="AA16" s="33"/>
      <c r="AB16" s="33"/>
      <c r="AC16" s="33"/>
      <c r="AD16" s="33"/>
      <c r="AE16" s="33"/>
      <c r="AF16" s="33"/>
      <c r="AG16" s="33"/>
      <c r="AH16" s="33"/>
      <c r="AI16" s="23"/>
      <c r="AJ16" s="33"/>
      <c r="AK16" s="33"/>
      <c r="AL16" s="33"/>
      <c r="AM16" s="33"/>
      <c r="AN16" s="33"/>
      <c r="AO16" s="33"/>
      <c r="AP16" s="33"/>
      <c r="AQ16" s="23"/>
      <c r="AR16" s="33"/>
      <c r="AS16" s="33"/>
      <c r="AT16" s="33"/>
      <c r="AU16" s="33"/>
      <c r="AV16" s="33"/>
      <c r="AW16" s="33"/>
      <c r="AX16" s="33"/>
      <c r="AY16" s="33"/>
      <c r="AZ16" s="33"/>
      <c r="BA16" s="23"/>
      <c r="BB16" s="33"/>
      <c r="BC16" s="33"/>
      <c r="BD16" s="33"/>
      <c r="BE16" s="33"/>
      <c r="BF16" s="33"/>
      <c r="BG16" s="23"/>
      <c r="BH16" s="33"/>
      <c r="BI16" s="33"/>
      <c r="BJ16" s="33"/>
      <c r="BK16" s="33"/>
      <c r="BL16" s="33"/>
      <c r="BM16" s="33"/>
      <c r="BN16" s="33"/>
      <c r="BO16" s="33"/>
      <c r="BP16" s="33"/>
      <c r="BQ16" s="23"/>
      <c r="BR16" s="33"/>
      <c r="BS16" s="33"/>
      <c r="BT16" s="33"/>
      <c r="BU16" s="23"/>
      <c r="BV16" s="33"/>
      <c r="BW16" s="33"/>
      <c r="BX16" s="33"/>
      <c r="BY16" s="33"/>
      <c r="BZ16" s="33"/>
      <c r="CA16" s="33"/>
    </row>
  </sheetData>
  <mergeCells count="115">
    <mergeCell ref="A1:CA1"/>
    <mergeCell ref="A2:BT2"/>
    <mergeCell ref="BT3:BV3"/>
    <mergeCell ref="BY3:CA3"/>
    <mergeCell ref="B4:I4"/>
    <mergeCell ref="J4:N4"/>
    <mergeCell ref="O4:X4"/>
    <mergeCell ref="Y4:AH4"/>
    <mergeCell ref="AI4:AP4"/>
    <mergeCell ref="AQ4:AZ4"/>
    <mergeCell ref="BA4:BF4"/>
    <mergeCell ref="BG4:BP4"/>
    <mergeCell ref="BQ4:BT4"/>
    <mergeCell ref="BU4:CA4"/>
    <mergeCell ref="K5:L5"/>
    <mergeCell ref="M5:N5"/>
    <mergeCell ref="R5:T5"/>
    <mergeCell ref="U5:W5"/>
    <mergeCell ref="AB5:AD5"/>
    <mergeCell ref="AE5:AG5"/>
    <mergeCell ref="AI5:AJ5"/>
    <mergeCell ref="AK5:AP5"/>
    <mergeCell ref="AQ5:AR5"/>
    <mergeCell ref="AS5:AV5"/>
    <mergeCell ref="AW5:AX5"/>
    <mergeCell ref="AY5:AZ5"/>
    <mergeCell ref="BA5:BB5"/>
    <mergeCell ref="BC5:BF5"/>
    <mergeCell ref="BG5:BK5"/>
    <mergeCell ref="BL5:BP5"/>
    <mergeCell ref="BQ5:BR5"/>
    <mergeCell ref="BS5:BT5"/>
    <mergeCell ref="AM6:AN6"/>
    <mergeCell ref="AO6:AP6"/>
    <mergeCell ref="AU6:AV6"/>
    <mergeCell ref="BE6:BF6"/>
    <mergeCell ref="BI6:BJ6"/>
    <mergeCell ref="BN6:BO6"/>
    <mergeCell ref="B16:I16"/>
    <mergeCell ref="J16:N16"/>
    <mergeCell ref="O16:X16"/>
    <mergeCell ref="Y16:AH16"/>
    <mergeCell ref="AI16:AP16"/>
    <mergeCell ref="AQ16:AZ16"/>
    <mergeCell ref="BA16:BF16"/>
    <mergeCell ref="BG16:BP16"/>
    <mergeCell ref="BQ16:BT16"/>
    <mergeCell ref="BU16:CA16"/>
    <mergeCell ref="A4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6:K7"/>
    <mergeCell ref="L6:L7"/>
    <mergeCell ref="M6:M7"/>
    <mergeCell ref="N6:N7"/>
    <mergeCell ref="O5:O7"/>
    <mergeCell ref="P5:P7"/>
    <mergeCell ref="Q5:Q7"/>
    <mergeCell ref="R6:R7"/>
    <mergeCell ref="S6:S7"/>
    <mergeCell ref="T6:T7"/>
    <mergeCell ref="U6:U7"/>
    <mergeCell ref="V6:V7"/>
    <mergeCell ref="W6:W7"/>
    <mergeCell ref="X5:X7"/>
    <mergeCell ref="Y5:Y7"/>
    <mergeCell ref="Z5:Z7"/>
    <mergeCell ref="AA5:AA7"/>
    <mergeCell ref="AB6:AB7"/>
    <mergeCell ref="AC6:AC7"/>
    <mergeCell ref="AD6:AD7"/>
    <mergeCell ref="AE6:AE7"/>
    <mergeCell ref="AF6:AF7"/>
    <mergeCell ref="AG6:AG7"/>
    <mergeCell ref="AH5:AH7"/>
    <mergeCell ref="AI6:AI7"/>
    <mergeCell ref="AJ6:AJ7"/>
    <mergeCell ref="AK6:AK7"/>
    <mergeCell ref="AL6:AL7"/>
    <mergeCell ref="AQ6:AQ7"/>
    <mergeCell ref="AR6:AR7"/>
    <mergeCell ref="AS6:AS7"/>
    <mergeCell ref="AT6:AT7"/>
    <mergeCell ref="AW6:AW7"/>
    <mergeCell ref="AX6:AX7"/>
    <mergeCell ref="AY6:AY7"/>
    <mergeCell ref="AZ6:AZ7"/>
    <mergeCell ref="BA6:BA7"/>
    <mergeCell ref="BB6:BB7"/>
    <mergeCell ref="BC6:BC7"/>
    <mergeCell ref="BD6:BD7"/>
    <mergeCell ref="BG6:BG7"/>
    <mergeCell ref="BH6:BH7"/>
    <mergeCell ref="BK6:BK7"/>
    <mergeCell ref="BL6:BL7"/>
    <mergeCell ref="BM6:BM7"/>
    <mergeCell ref="BP6:BP7"/>
    <mergeCell ref="BQ6:BQ7"/>
    <mergeCell ref="BR6:BR7"/>
    <mergeCell ref="BS6:BS7"/>
    <mergeCell ref="BT6:BT7"/>
    <mergeCell ref="BU5:BU7"/>
    <mergeCell ref="BV5:BV7"/>
    <mergeCell ref="BW5:BW7"/>
    <mergeCell ref="BX5:BX7"/>
    <mergeCell ref="BY5:BY7"/>
    <mergeCell ref="BZ5:BZ7"/>
    <mergeCell ref="CA5:CA7"/>
  </mergeCells>
  <printOptions horizontalCentered="1"/>
  <pageMargins left="0.0979166666666667" right="0.0979166666666667" top="0.751388888888889" bottom="0.751388888888889" header="0.298611111111111" footer="0.298611111111111"/>
  <pageSetup paperSize="9" scale="73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5"/>
  <sheetViews>
    <sheetView workbookViewId="0">
      <selection activeCell="A5" sqref="$A5:$XFD5"/>
    </sheetView>
  </sheetViews>
  <sheetFormatPr defaultColWidth="9.32692307692308" defaultRowHeight="15.2" outlineLevelRow="4"/>
  <sheetData>
    <row r="5" s="1" customFormat="1" ht="119" customHeight="1" spans="2:77">
      <c r="B5" s="2" t="s">
        <v>79</v>
      </c>
      <c r="C5" s="2"/>
      <c r="D5" s="2"/>
      <c r="E5" s="2"/>
      <c r="F5" s="2"/>
      <c r="G5" s="2"/>
      <c r="H5" s="3" t="s">
        <v>82</v>
      </c>
      <c r="I5" s="4"/>
      <c r="J5" s="4"/>
      <c r="K5" s="4"/>
      <c r="L5" s="4"/>
      <c r="M5" s="3" t="s">
        <v>83</v>
      </c>
      <c r="N5" s="4"/>
      <c r="O5" s="4"/>
      <c r="P5" s="4"/>
      <c r="Q5" s="4"/>
      <c r="R5" s="4"/>
      <c r="S5" s="4"/>
      <c r="T5" s="4"/>
      <c r="U5" s="4"/>
      <c r="V5" s="4"/>
      <c r="W5" s="3" t="s">
        <v>84</v>
      </c>
      <c r="X5" s="4"/>
      <c r="Y5" s="4"/>
      <c r="Z5" s="4"/>
      <c r="AA5" s="4"/>
      <c r="AB5" s="4"/>
      <c r="AC5" s="4"/>
      <c r="AD5" s="4"/>
      <c r="AE5" s="4"/>
      <c r="AF5" s="4"/>
      <c r="AG5" s="3" t="s">
        <v>85</v>
      </c>
      <c r="AH5" s="4"/>
      <c r="AI5" s="4"/>
      <c r="AJ5" s="4"/>
      <c r="AK5" s="4"/>
      <c r="AL5" s="4"/>
      <c r="AM5" s="4"/>
      <c r="AN5" s="4"/>
      <c r="AO5" s="3" t="s">
        <v>86</v>
      </c>
      <c r="AP5" s="4"/>
      <c r="AQ5" s="4"/>
      <c r="AR5" s="4"/>
      <c r="AS5" s="4"/>
      <c r="AT5" s="4"/>
      <c r="AU5" s="4"/>
      <c r="AV5" s="4"/>
      <c r="AW5" s="4"/>
      <c r="AX5" s="4"/>
      <c r="AY5" s="3" t="s">
        <v>87</v>
      </c>
      <c r="AZ5" s="4"/>
      <c r="BA5" s="4"/>
      <c r="BB5" s="4"/>
      <c r="BC5" s="4"/>
      <c r="BD5" s="4"/>
      <c r="BE5" s="3" t="s">
        <v>88</v>
      </c>
      <c r="BF5" s="4"/>
      <c r="BG5" s="4"/>
      <c r="BH5" s="4"/>
      <c r="BI5" s="4"/>
      <c r="BJ5" s="4"/>
      <c r="BK5" s="4"/>
      <c r="BL5" s="4"/>
      <c r="BM5" s="4"/>
      <c r="BN5" s="4"/>
      <c r="BO5" s="3" t="s">
        <v>89</v>
      </c>
      <c r="BP5" s="4"/>
      <c r="BQ5" s="4"/>
      <c r="BR5" s="4"/>
      <c r="BS5" s="3" t="s">
        <v>90</v>
      </c>
      <c r="BT5" s="4"/>
      <c r="BU5" s="4"/>
      <c r="BV5" s="4"/>
      <c r="BW5" s="4"/>
      <c r="BX5" s="4"/>
      <c r="BY5" s="4"/>
    </row>
  </sheetData>
  <mergeCells count="10">
    <mergeCell ref="B5:G5"/>
    <mergeCell ref="H5:L5"/>
    <mergeCell ref="M5:V5"/>
    <mergeCell ref="W5:AF5"/>
    <mergeCell ref="AG5:AN5"/>
    <mergeCell ref="AO5:AX5"/>
    <mergeCell ref="AY5:BD5"/>
    <mergeCell ref="BE5:BN5"/>
    <mergeCell ref="BO5:BR5"/>
    <mergeCell ref="BS5:BY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源</cp:lastModifiedBy>
  <dcterms:created xsi:type="dcterms:W3CDTF">2026-03-12T08:06:00Z</dcterms:created>
  <dcterms:modified xsi:type="dcterms:W3CDTF">2026-04-29T18:59:07Z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C9F58A89BE394F179880C51765D9200A_13</vt:lpwstr>
  </property>
  <property fmtid="{D5CDD505-2E9C-101B-9397-08002B2CF9AE}" pid="4" name="CalculationRule">
    <vt:i4>0</vt:i4>
  </property>
</Properties>
</file>